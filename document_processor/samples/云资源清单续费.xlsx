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F51F20DA-CD9A-8048-804B-0345677A292E}" xr6:coauthVersionLast="47" xr6:coauthVersionMax="47" xr10:uidLastSave="{00000000-0000-0000-0000-000000000000}"/>
  <bookViews>
    <workbookView xWindow="0" yWindow="580" windowWidth="29920" windowHeight="17300" xr2:uid="{00000000-000D-0000-FFFF-FFFF00000000}"/>
  </bookViews>
  <sheets>
    <sheet name="云资源清单" sheetId="1" r:id="rId1"/>
  </sheets>
  <definedNames>
    <definedName name="_xlnm._FilterDatabase" localSheetId="0" hidden="1">云资源清单!$A$1:$K$84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  <c r="K84" i="1"/>
  <c r="J22" i="1"/>
  <c r="J21" i="1"/>
  <c r="J20" i="1"/>
  <c r="J5" i="1"/>
  <c r="J65" i="1"/>
  <c r="J24" i="1"/>
</calcChain>
</file>

<file path=xl/sharedStrings.xml><?xml version="1.0" encoding="utf-8"?>
<sst xmlns="http://schemas.openxmlformats.org/spreadsheetml/2006/main" count="610" uniqueCount="202">
  <si>
    <t>类型</t>
  </si>
  <si>
    <t>地域</t>
  </si>
  <si>
    <t>名称</t>
  </si>
  <si>
    <t>业务组</t>
  </si>
  <si>
    <t>资源ID</t>
  </si>
  <si>
    <t>外网IP</t>
  </si>
  <si>
    <t>计费方式</t>
  </si>
  <si>
    <t>到期时间</t>
  </si>
  <si>
    <t>云主机</t>
  </si>
  <si>
    <t>北京二</t>
  </si>
  <si>
    <t>TalkEdu-Swarm-1-Worker3</t>
  </si>
  <si>
    <t>拓维教育增值产品集群服务</t>
  </si>
  <si>
    <t>uhost-ca3kvq</t>
  </si>
  <si>
    <t>按年</t>
  </si>
  <si>
    <t>2026/1/1 0:00:00</t>
  </si>
  <si>
    <t>产品接口应用</t>
  </si>
  <si>
    <t>运营平台</t>
  </si>
  <si>
    <t>uhost-yf0lqd</t>
  </si>
  <si>
    <t>TalkEdu-Swarm-1-Manager3</t>
  </si>
  <si>
    <t>uhost-bnyftm</t>
  </si>
  <si>
    <t>拓维教育编译服务1</t>
  </si>
  <si>
    <t>教育一卡通</t>
  </si>
  <si>
    <t>uhost-sw5fxd</t>
  </si>
  <si>
    <t>普教平台-2</t>
  </si>
  <si>
    <t>uhost-b0il7bgeury</t>
  </si>
  <si>
    <t>Slave</t>
  </si>
  <si>
    <t>uhost-mzulq0</t>
  </si>
  <si>
    <t>TalkEdu-Swarm-1-Worker2</t>
  </si>
  <si>
    <t>uhost-m4snzh</t>
  </si>
  <si>
    <t>DNS服务</t>
  </si>
  <si>
    <t>uhost-143yhg</t>
  </si>
  <si>
    <t>渠道应用</t>
  </si>
  <si>
    <t>uhost-rmldam</t>
  </si>
  <si>
    <t>jump服务</t>
  </si>
  <si>
    <t>一卡通跳板机</t>
  </si>
  <si>
    <t>uhost-01ico5</t>
  </si>
  <si>
    <t>普教平台</t>
  </si>
  <si>
    <t>贵州教育</t>
  </si>
  <si>
    <t>uhost-2l4ulr</t>
  </si>
  <si>
    <t>kafka</t>
  </si>
  <si>
    <t>uhost-0or2alsl</t>
  </si>
  <si>
    <t>TalkEdu-Swarm-1-Worker5</t>
  </si>
  <si>
    <t>uhost-cnsmhn</t>
  </si>
  <si>
    <t>TalkEdu-Proxy1</t>
  </si>
  <si>
    <t>uhost-uje4xv</t>
  </si>
  <si>
    <t>web</t>
  </si>
  <si>
    <t>成长通</t>
  </si>
  <si>
    <t>uhost-p0jl24</t>
  </si>
  <si>
    <t>TalkEdu-Swarm-1-Worker1</t>
  </si>
  <si>
    <t>uhost-pvbefl</t>
  </si>
  <si>
    <t>TalkEdu-Volume</t>
  </si>
  <si>
    <t>uhost-qmw3yv</t>
  </si>
  <si>
    <t>TalkEdu-Swarm-1-Manager1</t>
  </si>
  <si>
    <t>uhost-dxkrns</t>
  </si>
  <si>
    <t>缓存代理</t>
  </si>
  <si>
    <t>uhost-qp32qct</t>
  </si>
  <si>
    <t>TalkEdu-Swarm-1-Worker4</t>
  </si>
  <si>
    <t>uhost-wh23yx</t>
  </si>
  <si>
    <t>CI</t>
  </si>
  <si>
    <t>uhost-ufomj</t>
  </si>
  <si>
    <t>TalkEdu-Swarm-1-Manager2</t>
  </si>
  <si>
    <t>uhost-hsmffl</t>
  </si>
  <si>
    <t>云数据库</t>
  </si>
  <si>
    <t>uther-master</t>
  </si>
  <si>
    <t>udbha-fhwhfbx</t>
  </si>
  <si>
    <t>10.10.25.249</t>
  </si>
  <si>
    <t>弹性IP</t>
  </si>
  <si>
    <t>EIP</t>
  </si>
  <si>
    <t>eip-qs51ueqz</t>
  </si>
  <si>
    <t>106.75.16.83</t>
  </si>
  <si>
    <t>2025/12/25 17:00:00</t>
  </si>
  <si>
    <t>eip-ochpqy</t>
  </si>
  <si>
    <t>106.75.12.254</t>
  </si>
  <si>
    <t>106.75.96.76</t>
  </si>
  <si>
    <t>eip-3swec4</t>
  </si>
  <si>
    <t>106.75.77.191</t>
  </si>
  <si>
    <t>eip-ahshsf</t>
  </si>
  <si>
    <t>123.59.52.180</t>
  </si>
  <si>
    <t>2026/1/1 0:30:00</t>
  </si>
  <si>
    <t>eip-b0il7ubnfet</t>
  </si>
  <si>
    <t>106.75.19.221</t>
  </si>
  <si>
    <t>eip-i3htp3uo</t>
  </si>
  <si>
    <t>106.75.26.189</t>
  </si>
  <si>
    <t>eip-kjqlulf</t>
  </si>
  <si>
    <t>106.75.13.55</t>
  </si>
  <si>
    <t>eip-1skmf5</t>
  </si>
  <si>
    <t>106.75.120.100</t>
  </si>
  <si>
    <t>eip-aksy3x</t>
  </si>
  <si>
    <t>106.75.77.132</t>
  </si>
  <si>
    <t>2026/1/1 0:03:00</t>
  </si>
  <si>
    <t>eip-c4d0t1</t>
  </si>
  <si>
    <t>123.59.140.182</t>
  </si>
  <si>
    <t>eip-lmentx</t>
  </si>
  <si>
    <t>106.75.80.77</t>
  </si>
  <si>
    <t>eip-oyhlwz</t>
  </si>
  <si>
    <t>106.75.8.233</t>
  </si>
  <si>
    <t>eip-iqayvpn</t>
  </si>
  <si>
    <t>117.50.92.135</t>
  </si>
  <si>
    <t>eip-tpqazp</t>
  </si>
  <si>
    <t>106.75.20.158</t>
  </si>
  <si>
    <t>eip-mkdfmj</t>
  </si>
  <si>
    <t>106.75.77.103</t>
  </si>
  <si>
    <t>微信公众号</t>
  </si>
  <si>
    <t>eip-pky4nmg5</t>
  </si>
  <si>
    <t>117.50.96.170</t>
  </si>
  <si>
    <t>eip-35jbba</t>
  </si>
  <si>
    <t>106.75.79.167</t>
  </si>
  <si>
    <t>eip-kowklw</t>
  </si>
  <si>
    <t>123.59.140.190</t>
  </si>
  <si>
    <t>eip-o0xhl1</t>
  </si>
  <si>
    <t>123.59.57.249</t>
  </si>
  <si>
    <t>eip-wnjnll</t>
  </si>
  <si>
    <t>106.75.84.78</t>
  </si>
  <si>
    <t>106.75.123.189</t>
  </si>
  <si>
    <t>eip-iorim4</t>
  </si>
  <si>
    <t>106.75.126.248</t>
  </si>
  <si>
    <t>eip-jxqp4eo</t>
  </si>
  <si>
    <t>106.75.37.239</t>
  </si>
  <si>
    <t>eip-edhtmd</t>
  </si>
  <si>
    <t>117.50.0.145</t>
  </si>
  <si>
    <t>O2O可视化平台</t>
  </si>
  <si>
    <t>eip-cmws3l</t>
  </si>
  <si>
    <t>106.75.18.81</t>
  </si>
  <si>
    <t>eip-hi5nq</t>
  </si>
  <si>
    <t>106.75.27.118</t>
  </si>
  <si>
    <t>2026/1/1 0:40:00</t>
  </si>
  <si>
    <t>eip-dqgmtl</t>
  </si>
  <si>
    <t>106.75.90.27</t>
  </si>
  <si>
    <t>eip-4qanvj</t>
  </si>
  <si>
    <t>123.59.140.192</t>
  </si>
  <si>
    <t>eip-mslya0</t>
  </si>
  <si>
    <t>106.75.50.20</t>
  </si>
  <si>
    <t>eip-pgfqql</t>
  </si>
  <si>
    <t>106.75.76.57</t>
  </si>
  <si>
    <t>eip-fotvkf</t>
  </si>
  <si>
    <t>106.75.3.193</t>
  </si>
  <si>
    <t>eip-ovromue</t>
  </si>
  <si>
    <t>117.50.0.74</t>
  </si>
  <si>
    <t>eip-eke4zw</t>
  </si>
  <si>
    <t>106.75.126.155</t>
  </si>
  <si>
    <t>eip-ltgl0m5</t>
  </si>
  <si>
    <t>117.50.0.117</t>
  </si>
  <si>
    <t>eip-nizuiaw</t>
  </si>
  <si>
    <t>106.75.77.46</t>
  </si>
  <si>
    <t>eip-ykd2uc</t>
  </si>
  <si>
    <t>106.75.96.66</t>
  </si>
  <si>
    <t>eip-lkipuy</t>
  </si>
  <si>
    <t>123.59.140.191</t>
  </si>
  <si>
    <t>eip-h2izz370pg</t>
  </si>
  <si>
    <t>106.75.76.250</t>
  </si>
  <si>
    <t>2026/3/28 8:55:26</t>
  </si>
  <si>
    <t>es</t>
  </si>
  <si>
    <t>eip-uh3lky</t>
  </si>
  <si>
    <t>106.75.13.6</t>
  </si>
  <si>
    <t>2026/8/17 16:52:48</t>
  </si>
  <si>
    <t>主备版redis</t>
  </si>
  <si>
    <t>mach..data</t>
  </si>
  <si>
    <t>uredis-edizis</t>
  </si>
  <si>
    <t>SSD云硬盘</t>
  </si>
  <si>
    <t>数据盘_uhost-ufomj</t>
  </si>
  <si>
    <t>bsm-4mutwbfl</t>
  </si>
  <si>
    <t>数据盘_uhost-cnsmhn</t>
  </si>
  <si>
    <t>bsm-eiitybm</t>
  </si>
  <si>
    <t>数据盘_uhost-p0jl24</t>
  </si>
  <si>
    <t>bsm-q4mv3mr</t>
  </si>
  <si>
    <t>数据盘_uhost-dxkrns</t>
  </si>
  <si>
    <t>bsm-ji2ckej</t>
  </si>
  <si>
    <t>数据盘_uhost-yf0lqd</t>
  </si>
  <si>
    <t>bsm-la44d0zj</t>
  </si>
  <si>
    <t>数据盘_uhost-uje4xv</t>
  </si>
  <si>
    <t>bsm-qnlkhbr</t>
  </si>
  <si>
    <t>数据盘_uhost-01ico5</t>
  </si>
  <si>
    <t>bsm-3acm5w21</t>
  </si>
  <si>
    <t>数据盘_uhost-pvbefl</t>
  </si>
  <si>
    <t>bsm-auw22x0n</t>
  </si>
  <si>
    <t>数据盘_uhost-qp32qct</t>
  </si>
  <si>
    <t>bsm-gzriaq0g</t>
  </si>
  <si>
    <t>数据盘_uhost-bnyftm</t>
  </si>
  <si>
    <t>bsm-ondp02hm</t>
  </si>
  <si>
    <t>SSD 云硬盘</t>
  </si>
  <si>
    <t>数据盘_uhost-hsmffl</t>
  </si>
  <si>
    <t>bsm-ics2kayf</t>
  </si>
  <si>
    <t>数据盘_UHost</t>
  </si>
  <si>
    <t>数据盘_uhost-rmldam</t>
  </si>
  <si>
    <t>bsm-hjs411q2</t>
  </si>
  <si>
    <t>数据盘_uhost-m4snzh</t>
  </si>
  <si>
    <t>bsm-blqzct3x</t>
  </si>
  <si>
    <t>数据盘_uhost-ca3kvq</t>
  </si>
  <si>
    <t>bsm-n4q5gx4z</t>
  </si>
  <si>
    <t>数据盘_uhost-wh23vx</t>
  </si>
  <si>
    <t>bsm-c0hwvipx</t>
  </si>
  <si>
    <t>RSSD 云硬盘</t>
  </si>
  <si>
    <t>data_disk_UHost</t>
  </si>
  <si>
    <t>bsr-b0il8d6w9qs</t>
  </si>
  <si>
    <t>数据盘_kafka</t>
  </si>
  <si>
    <t>bsr-mspo2um3</t>
  </si>
  <si>
    <t>均摊到月费用</t>
    <phoneticPr fontId="1" type="noConversion"/>
  </si>
  <si>
    <t>26年费用</t>
    <phoneticPr fontId="1" type="noConversion"/>
  </si>
  <si>
    <t>27年费用</t>
    <phoneticPr fontId="1" type="noConversion"/>
  </si>
  <si>
    <t>bsm-vswetalk</t>
    <phoneticPr fontId="1" type="noConversion"/>
  </si>
  <si>
    <t>eip-pkdwoj</t>
    <phoneticPr fontId="1" type="noConversion"/>
  </si>
  <si>
    <t>eip-bs5hcf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</si>
</sst>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176" fontId="0" fillId="0" borderId="0" xfId="0" applyNumberForma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4"/>
  <sheetViews>
    <sheetView tabSelected="1" topLeftCell="A27" workbookViewId="0">
      <selection activeCell="K15" sqref="K15"/>
    </sheetView>
  </sheetViews>
  <sheetFormatPr baseColWidth="10" defaultColWidth="11" defaultRowHeight="16"/>
  <cols>
    <col min="1" max="1" width="13.1640625" style="5" bestFit="1" customWidth="1"/>
    <col min="2" max="2" width="8" style="5" customWidth="1"/>
    <col min="3" max="3" width="28.83203125" style="5" bestFit="1" customWidth="1"/>
    <col min="4" max="4" width="27.5" style="5" customWidth="1"/>
    <col min="5" max="5" width="19" style="5" customWidth="1"/>
    <col min="6" max="6" width="14.6640625" style="5" customWidth="1"/>
    <col min="7" max="7" width="16.6640625" style="5" customWidth="1"/>
    <col min="8" max="8" width="17" style="5" customWidth="1"/>
    <col min="9" max="9" width="14" customWidth="1"/>
    <col min="10" max="10" width="24" hidden="1" customWidth="1"/>
    <col min="11" max="11" width="15.6640625" customWidth="1"/>
  </cols>
  <sheetData>
    <row r="1" spans="1:11" ht="1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197</v>
      </c>
      <c r="J1" s="4" t="s">
        <v>196</v>
      </c>
      <c r="K1" s="4" t="s">
        <v>198</v>
      </c>
    </row>
    <row r="2" spans="1:11">
      <c r="A2" s="1" t="s">
        <v>8</v>
      </c>
      <c r="B2" s="1" t="s">
        <v>9</v>
      </c>
      <c r="C2" s="2" t="s">
        <v>10</v>
      </c>
      <c r="D2" s="2" t="s">
        <v>11</v>
      </c>
      <c r="E2" s="2" t="s">
        <v>12</v>
      </c>
      <c r="F2" s="2"/>
      <c r="G2" s="1" t="s">
        <v>13</v>
      </c>
      <c r="H2" s="1" t="s">
        <v>14</v>
      </c>
      <c r="I2">
        <v>7508</v>
      </c>
      <c r="J2">
        <v>625.66999999999996</v>
      </c>
      <c r="K2">
        <v>7508</v>
      </c>
    </row>
    <row r="3" spans="1:11" s="9" customFormat="1">
      <c r="A3" s="7" t="s">
        <v>8</v>
      </c>
      <c r="B3" s="7" t="s">
        <v>9</v>
      </c>
      <c r="C3" s="8" t="s">
        <v>15</v>
      </c>
      <c r="D3" s="8" t="s">
        <v>16</v>
      </c>
      <c r="E3" s="8" t="s">
        <v>17</v>
      </c>
      <c r="F3" s="8"/>
      <c r="G3" s="7" t="s">
        <v>13</v>
      </c>
      <c r="H3" s="7" t="s">
        <v>14</v>
      </c>
      <c r="I3" s="9">
        <v>4260</v>
      </c>
      <c r="J3" s="9">
        <v>355</v>
      </c>
      <c r="K3" s="9">
        <v>0</v>
      </c>
    </row>
    <row r="4" spans="1:11">
      <c r="A4" s="1" t="s">
        <v>8</v>
      </c>
      <c r="B4" s="1" t="s">
        <v>9</v>
      </c>
      <c r="C4" s="2" t="s">
        <v>18</v>
      </c>
      <c r="D4" s="2" t="s">
        <v>11</v>
      </c>
      <c r="E4" s="2" t="s">
        <v>19</v>
      </c>
      <c r="F4" s="2"/>
      <c r="G4" s="1" t="s">
        <v>13</v>
      </c>
      <c r="H4" s="1" t="s">
        <v>14</v>
      </c>
      <c r="I4">
        <v>3488</v>
      </c>
      <c r="J4">
        <v>290.67</v>
      </c>
      <c r="K4">
        <v>3488</v>
      </c>
    </row>
    <row r="5" spans="1:11">
      <c r="A5" s="1" t="s">
        <v>8</v>
      </c>
      <c r="B5" s="1" t="s">
        <v>9</v>
      </c>
      <c r="C5" s="2" t="s">
        <v>20</v>
      </c>
      <c r="D5" s="2" t="s">
        <v>21</v>
      </c>
      <c r="E5" s="2" t="s">
        <v>22</v>
      </c>
      <c r="F5" s="2"/>
      <c r="G5" s="1" t="s">
        <v>13</v>
      </c>
      <c r="H5" s="1" t="s">
        <v>14</v>
      </c>
      <c r="I5" s="12">
        <v>2060</v>
      </c>
      <c r="J5" s="13">
        <f t="shared" ref="J5" si="0">I5/12</f>
        <v>171.66666666666666</v>
      </c>
      <c r="K5" s="12">
        <v>2060</v>
      </c>
    </row>
    <row r="6" spans="1:11">
      <c r="A6" s="7" t="s">
        <v>8</v>
      </c>
      <c r="B6" s="7" t="s">
        <v>9</v>
      </c>
      <c r="C6" s="8" t="s">
        <v>23</v>
      </c>
      <c r="D6" s="8"/>
      <c r="E6" s="8" t="s">
        <v>24</v>
      </c>
      <c r="F6" s="8"/>
      <c r="G6" s="7" t="s">
        <v>13</v>
      </c>
      <c r="H6" s="7" t="s">
        <v>14</v>
      </c>
      <c r="I6" s="9">
        <v>2112</v>
      </c>
      <c r="J6" s="9">
        <v>176</v>
      </c>
      <c r="K6" s="9">
        <v>0</v>
      </c>
    </row>
    <row r="7" spans="1:11">
      <c r="A7" s="1" t="s">
        <v>8</v>
      </c>
      <c r="B7" s="1" t="s">
        <v>9</v>
      </c>
      <c r="C7" s="2" t="s">
        <v>25</v>
      </c>
      <c r="D7" s="2" t="s">
        <v>11</v>
      </c>
      <c r="E7" s="2" t="s">
        <v>26</v>
      </c>
      <c r="F7" s="2"/>
      <c r="G7" s="1" t="s">
        <v>13</v>
      </c>
      <c r="H7" s="1" t="s">
        <v>14</v>
      </c>
      <c r="I7">
        <v>2060</v>
      </c>
      <c r="J7">
        <v>171.67</v>
      </c>
      <c r="K7">
        <v>2060</v>
      </c>
    </row>
    <row r="8" spans="1:11">
      <c r="A8" s="1" t="s">
        <v>8</v>
      </c>
      <c r="B8" s="1" t="s">
        <v>9</v>
      </c>
      <c r="C8" s="2" t="s">
        <v>27</v>
      </c>
      <c r="D8" s="2" t="s">
        <v>11</v>
      </c>
      <c r="E8" s="2" t="s">
        <v>28</v>
      </c>
      <c r="F8" s="2"/>
      <c r="G8" s="1" t="s">
        <v>13</v>
      </c>
      <c r="H8" s="1" t="s">
        <v>14</v>
      </c>
      <c r="I8">
        <v>7508</v>
      </c>
      <c r="J8">
        <v>625.66999999999996</v>
      </c>
      <c r="K8">
        <v>7508</v>
      </c>
    </row>
    <row r="9" spans="1:11">
      <c r="A9" s="1" t="s">
        <v>8</v>
      </c>
      <c r="B9" s="1" t="s">
        <v>9</v>
      </c>
      <c r="C9" s="2" t="s">
        <v>29</v>
      </c>
      <c r="D9" s="2" t="s">
        <v>11</v>
      </c>
      <c r="E9" s="2" t="s">
        <v>30</v>
      </c>
      <c r="F9" s="2"/>
      <c r="G9" s="1" t="s">
        <v>13</v>
      </c>
      <c r="H9" s="1" t="s">
        <v>14</v>
      </c>
      <c r="I9">
        <v>872</v>
      </c>
      <c r="J9">
        <v>72.67</v>
      </c>
      <c r="K9">
        <v>872</v>
      </c>
    </row>
    <row r="10" spans="1:11" s="9" customFormat="1">
      <c r="A10" s="7" t="s">
        <v>8</v>
      </c>
      <c r="B10" s="7" t="s">
        <v>9</v>
      </c>
      <c r="C10" s="8" t="s">
        <v>31</v>
      </c>
      <c r="D10" s="8" t="s">
        <v>16</v>
      </c>
      <c r="E10" s="8" t="s">
        <v>32</v>
      </c>
      <c r="F10" s="8"/>
      <c r="G10" s="7" t="s">
        <v>13</v>
      </c>
      <c r="H10" s="7" t="s">
        <v>14</v>
      </c>
      <c r="I10" s="9">
        <v>2860</v>
      </c>
      <c r="J10" s="9">
        <v>238.33</v>
      </c>
      <c r="K10" s="9">
        <v>0</v>
      </c>
    </row>
    <row r="11" spans="1:11">
      <c r="A11" s="1" t="s">
        <v>8</v>
      </c>
      <c r="B11" s="1" t="s">
        <v>9</v>
      </c>
      <c r="C11" s="2" t="s">
        <v>33</v>
      </c>
      <c r="D11" s="2" t="s">
        <v>34</v>
      </c>
      <c r="E11" s="2" t="s">
        <v>35</v>
      </c>
      <c r="F11" s="2"/>
      <c r="G11" s="1" t="s">
        <v>13</v>
      </c>
      <c r="H11" s="1" t="s">
        <v>14</v>
      </c>
      <c r="I11">
        <v>6220</v>
      </c>
      <c r="J11">
        <v>518.33000000000004</v>
      </c>
      <c r="K11">
        <v>6220</v>
      </c>
    </row>
    <row r="12" spans="1:11">
      <c r="A12" s="1" t="s">
        <v>8</v>
      </c>
      <c r="B12" s="1" t="s">
        <v>9</v>
      </c>
      <c r="C12" s="2" t="s">
        <v>36</v>
      </c>
      <c r="D12" s="2" t="s">
        <v>37</v>
      </c>
      <c r="E12" s="2" t="s">
        <v>38</v>
      </c>
      <c r="F12" s="2"/>
      <c r="G12" s="1" t="s">
        <v>13</v>
      </c>
      <c r="H12" s="1" t="s">
        <v>14</v>
      </c>
      <c r="I12">
        <v>3964</v>
      </c>
      <c r="J12">
        <v>330.33</v>
      </c>
      <c r="K12">
        <v>3964</v>
      </c>
    </row>
    <row r="13" spans="1:11">
      <c r="A13" s="1" t="s">
        <v>8</v>
      </c>
      <c r="B13" s="1" t="s">
        <v>9</v>
      </c>
      <c r="C13" s="2" t="s">
        <v>39</v>
      </c>
      <c r="D13" s="2" t="s">
        <v>21</v>
      </c>
      <c r="E13" s="2" t="s">
        <v>40</v>
      </c>
      <c r="F13" s="2"/>
      <c r="G13" s="1" t="s">
        <v>13</v>
      </c>
      <c r="H13" s="1" t="s">
        <v>14</v>
      </c>
      <c r="I13">
        <v>4164</v>
      </c>
      <c r="J13">
        <v>347</v>
      </c>
      <c r="K13">
        <v>4164</v>
      </c>
    </row>
    <row r="14" spans="1:11">
      <c r="A14" s="1" t="s">
        <v>8</v>
      </c>
      <c r="B14" s="1" t="s">
        <v>9</v>
      </c>
      <c r="C14" s="2" t="s">
        <v>41</v>
      </c>
      <c r="D14" s="2" t="s">
        <v>11</v>
      </c>
      <c r="E14" s="2" t="s">
        <v>42</v>
      </c>
      <c r="F14" s="2"/>
      <c r="G14" s="1" t="s">
        <v>13</v>
      </c>
      <c r="H14" s="1" t="s">
        <v>14</v>
      </c>
      <c r="I14">
        <v>7508</v>
      </c>
      <c r="J14">
        <v>625.66999999999996</v>
      </c>
      <c r="K14">
        <v>7508</v>
      </c>
    </row>
    <row r="15" spans="1:11">
      <c r="A15" s="1" t="s">
        <v>8</v>
      </c>
      <c r="B15" s="1" t="s">
        <v>9</v>
      </c>
      <c r="C15" s="2" t="s">
        <v>43</v>
      </c>
      <c r="D15" s="2" t="s">
        <v>11</v>
      </c>
      <c r="E15" s="2" t="s">
        <v>44</v>
      </c>
      <c r="F15" s="2"/>
      <c r="G15" s="1" t="s">
        <v>13</v>
      </c>
      <c r="H15" s="1" t="s">
        <v>14</v>
      </c>
      <c r="I15">
        <v>872</v>
      </c>
      <c r="J15">
        <v>72.67</v>
      </c>
      <c r="K15">
        <v>872</v>
      </c>
    </row>
    <row r="16" spans="1:11" s="9" customFormat="1">
      <c r="A16" s="7" t="s">
        <v>8</v>
      </c>
      <c r="B16" s="7" t="s">
        <v>9</v>
      </c>
      <c r="C16" s="8" t="s">
        <v>45</v>
      </c>
      <c r="D16" s="8" t="s">
        <v>46</v>
      </c>
      <c r="E16" s="8" t="s">
        <v>47</v>
      </c>
      <c r="F16" s="8"/>
      <c r="G16" s="7" t="s">
        <v>13</v>
      </c>
      <c r="H16" s="7" t="s">
        <v>14</v>
      </c>
      <c r="I16" s="9">
        <v>4260</v>
      </c>
      <c r="J16" s="9">
        <v>355</v>
      </c>
      <c r="K16" s="9">
        <v>0</v>
      </c>
    </row>
    <row r="17" spans="1:11">
      <c r="A17" s="1" t="s">
        <v>8</v>
      </c>
      <c r="B17" s="1" t="s">
        <v>9</v>
      </c>
      <c r="C17" s="2" t="s">
        <v>48</v>
      </c>
      <c r="D17" s="2" t="s">
        <v>11</v>
      </c>
      <c r="E17" s="2" t="s">
        <v>49</v>
      </c>
      <c r="F17" s="2"/>
      <c r="G17" s="1" t="s">
        <v>13</v>
      </c>
      <c r="H17" s="1" t="s">
        <v>14</v>
      </c>
      <c r="I17">
        <v>7508</v>
      </c>
      <c r="J17">
        <v>625.66999999999996</v>
      </c>
      <c r="K17">
        <v>7508</v>
      </c>
    </row>
    <row r="18" spans="1:11">
      <c r="A18" s="1" t="s">
        <v>8</v>
      </c>
      <c r="B18" s="1" t="s">
        <v>9</v>
      </c>
      <c r="C18" s="2" t="s">
        <v>50</v>
      </c>
      <c r="D18" s="2" t="s">
        <v>11</v>
      </c>
      <c r="E18" s="2" t="s">
        <v>51</v>
      </c>
      <c r="F18" s="2"/>
      <c r="G18" s="1" t="s">
        <v>13</v>
      </c>
      <c r="H18" s="1" t="s">
        <v>14</v>
      </c>
      <c r="I18">
        <v>2144</v>
      </c>
      <c r="J18">
        <v>178.67</v>
      </c>
      <c r="K18">
        <v>2144</v>
      </c>
    </row>
    <row r="19" spans="1:11">
      <c r="A19" s="1" t="s">
        <v>8</v>
      </c>
      <c r="B19" s="1" t="s">
        <v>9</v>
      </c>
      <c r="C19" s="2" t="s">
        <v>52</v>
      </c>
      <c r="D19" s="2" t="s">
        <v>11</v>
      </c>
      <c r="E19" s="2" t="s">
        <v>53</v>
      </c>
      <c r="F19" s="2"/>
      <c r="G19" s="1" t="s">
        <v>13</v>
      </c>
      <c r="H19" s="1" t="s">
        <v>14</v>
      </c>
      <c r="I19">
        <v>3320</v>
      </c>
      <c r="J19">
        <v>276.67</v>
      </c>
      <c r="K19">
        <v>3320</v>
      </c>
    </row>
    <row r="20" spans="1:11" s="9" customFormat="1">
      <c r="A20" s="7" t="s">
        <v>8</v>
      </c>
      <c r="B20" s="7" t="s">
        <v>9</v>
      </c>
      <c r="C20" s="8" t="s">
        <v>54</v>
      </c>
      <c r="D20" s="8" t="s">
        <v>16</v>
      </c>
      <c r="E20" s="8" t="s">
        <v>55</v>
      </c>
      <c r="F20" s="8"/>
      <c r="G20" s="7" t="s">
        <v>13</v>
      </c>
      <c r="H20" s="7" t="s">
        <v>14</v>
      </c>
      <c r="I20" s="10">
        <v>872</v>
      </c>
      <c r="J20" s="11">
        <f t="shared" ref="J20:J22" si="1">I20/12</f>
        <v>72.666666666666671</v>
      </c>
      <c r="K20" s="10">
        <v>0</v>
      </c>
    </row>
    <row r="21" spans="1:11">
      <c r="A21" s="1" t="s">
        <v>8</v>
      </c>
      <c r="B21" s="1" t="s">
        <v>9</v>
      </c>
      <c r="C21" s="2" t="s">
        <v>56</v>
      </c>
      <c r="D21" s="2" t="s">
        <v>11</v>
      </c>
      <c r="E21" s="2" t="s">
        <v>57</v>
      </c>
      <c r="F21" s="2"/>
      <c r="G21" s="1" t="s">
        <v>13</v>
      </c>
      <c r="H21" s="1" t="s">
        <v>14</v>
      </c>
      <c r="I21">
        <v>7508</v>
      </c>
      <c r="J21" s="6">
        <f t="shared" si="1"/>
        <v>625.66666666666663</v>
      </c>
      <c r="K21">
        <v>7508</v>
      </c>
    </row>
    <row r="22" spans="1:11">
      <c r="A22" s="1" t="s">
        <v>8</v>
      </c>
      <c r="B22" s="1" t="s">
        <v>9</v>
      </c>
      <c r="C22" s="2" t="s">
        <v>58</v>
      </c>
      <c r="D22" s="2" t="s">
        <v>11</v>
      </c>
      <c r="E22" s="2" t="s">
        <v>59</v>
      </c>
      <c r="F22" s="2"/>
      <c r="G22" s="1" t="s">
        <v>13</v>
      </c>
      <c r="H22" s="1" t="s">
        <v>14</v>
      </c>
      <c r="I22" s="14">
        <v>3980</v>
      </c>
      <c r="J22" s="15">
        <f t="shared" si="1"/>
        <v>331.66666666666669</v>
      </c>
      <c r="K22" s="14">
        <v>3980</v>
      </c>
    </row>
    <row r="23" spans="1:11">
      <c r="A23" s="1" t="s">
        <v>8</v>
      </c>
      <c r="B23" s="1" t="s">
        <v>9</v>
      </c>
      <c r="C23" s="2" t="s">
        <v>60</v>
      </c>
      <c r="D23" s="2" t="s">
        <v>11</v>
      </c>
      <c r="E23" s="2" t="s">
        <v>61</v>
      </c>
      <c r="F23" s="2"/>
      <c r="G23" s="1" t="s">
        <v>13</v>
      </c>
      <c r="H23" s="1" t="s">
        <v>14</v>
      </c>
      <c r="I23">
        <v>3320</v>
      </c>
      <c r="J23">
        <v>276.67</v>
      </c>
      <c r="K23">
        <v>3320</v>
      </c>
    </row>
    <row r="24" spans="1:11">
      <c r="A24" s="1" t="s">
        <v>62</v>
      </c>
      <c r="B24" s="1" t="s">
        <v>9</v>
      </c>
      <c r="C24" s="2" t="s">
        <v>63</v>
      </c>
      <c r="D24" s="2" t="s">
        <v>21</v>
      </c>
      <c r="E24" s="2" t="s">
        <v>64</v>
      </c>
      <c r="F24" s="2" t="s">
        <v>65</v>
      </c>
      <c r="G24" s="1" t="s">
        <v>13</v>
      </c>
      <c r="H24" s="1" t="s">
        <v>14</v>
      </c>
      <c r="I24">
        <v>21230</v>
      </c>
      <c r="J24" s="6">
        <f>I24/12</f>
        <v>1769.1666666666667</v>
      </c>
      <c r="K24">
        <v>21230</v>
      </c>
    </row>
    <row r="25" spans="1:11">
      <c r="A25" s="1" t="s">
        <v>66</v>
      </c>
      <c r="B25" s="1" t="s">
        <v>9</v>
      </c>
      <c r="C25" s="2" t="s">
        <v>67</v>
      </c>
      <c r="D25" s="2" t="s">
        <v>21</v>
      </c>
      <c r="E25" s="2" t="s">
        <v>68</v>
      </c>
      <c r="F25" s="2" t="s">
        <v>69</v>
      </c>
      <c r="G25" s="1" t="s">
        <v>13</v>
      </c>
      <c r="H25" s="1" t="s">
        <v>70</v>
      </c>
      <c r="I25">
        <v>210</v>
      </c>
      <c r="K25">
        <v>210</v>
      </c>
    </row>
    <row r="26" spans="1:11">
      <c r="A26" s="1" t="s">
        <v>66</v>
      </c>
      <c r="B26" s="1" t="s">
        <v>9</v>
      </c>
      <c r="C26" s="2" t="s">
        <v>67</v>
      </c>
      <c r="D26" s="2" t="s">
        <v>11</v>
      </c>
      <c r="E26" s="2" t="s">
        <v>71</v>
      </c>
      <c r="F26" s="2" t="s">
        <v>72</v>
      </c>
      <c r="G26" s="1" t="s">
        <v>13</v>
      </c>
      <c r="H26" s="1" t="s">
        <v>14</v>
      </c>
      <c r="I26">
        <v>210</v>
      </c>
      <c r="K26">
        <v>210</v>
      </c>
    </row>
    <row r="27" spans="1:11">
      <c r="A27" s="1" t="s">
        <v>66</v>
      </c>
      <c r="B27" s="1" t="s">
        <v>9</v>
      </c>
      <c r="C27" s="2" t="s">
        <v>67</v>
      </c>
      <c r="D27" s="2" t="s">
        <v>11</v>
      </c>
      <c r="E27" s="2" t="s">
        <v>200</v>
      </c>
      <c r="F27" s="2" t="s">
        <v>73</v>
      </c>
      <c r="G27" s="1" t="s">
        <v>13</v>
      </c>
      <c r="H27" s="1" t="s">
        <v>14</v>
      </c>
      <c r="I27">
        <v>210</v>
      </c>
      <c r="K27">
        <v>210</v>
      </c>
    </row>
    <row r="28" spans="1:11">
      <c r="A28" s="1" t="s">
        <v>66</v>
      </c>
      <c r="B28" s="1" t="s">
        <v>9</v>
      </c>
      <c r="C28" s="2" t="s">
        <v>67</v>
      </c>
      <c r="D28" s="2" t="s">
        <v>21</v>
      </c>
      <c r="E28" s="2" t="s">
        <v>74</v>
      </c>
      <c r="F28" s="2" t="s">
        <v>75</v>
      </c>
      <c r="G28" s="1" t="s">
        <v>13</v>
      </c>
      <c r="H28" s="1" t="s">
        <v>14</v>
      </c>
      <c r="I28">
        <v>210</v>
      </c>
      <c r="K28">
        <v>210</v>
      </c>
    </row>
    <row r="29" spans="1:11" s="9" customFormat="1">
      <c r="A29" s="7" t="s">
        <v>66</v>
      </c>
      <c r="B29" s="7" t="s">
        <v>9</v>
      </c>
      <c r="C29" s="8" t="s">
        <v>67</v>
      </c>
      <c r="D29" s="8" t="s">
        <v>46</v>
      </c>
      <c r="E29" s="8" t="s">
        <v>76</v>
      </c>
      <c r="F29" s="8" t="s">
        <v>77</v>
      </c>
      <c r="G29" s="7" t="s">
        <v>13</v>
      </c>
      <c r="H29" s="7" t="s">
        <v>78</v>
      </c>
      <c r="I29" s="9">
        <v>210</v>
      </c>
      <c r="K29" s="9">
        <v>0</v>
      </c>
    </row>
    <row r="30" spans="1:11" s="9" customFormat="1">
      <c r="A30" s="7" t="s">
        <v>66</v>
      </c>
      <c r="B30" s="7" t="s">
        <v>9</v>
      </c>
      <c r="C30" s="8" t="s">
        <v>67</v>
      </c>
      <c r="D30" s="8"/>
      <c r="E30" s="8" t="s">
        <v>79</v>
      </c>
      <c r="F30" s="8" t="s">
        <v>80</v>
      </c>
      <c r="G30" s="7" t="s">
        <v>13</v>
      </c>
      <c r="H30" s="7" t="s">
        <v>14</v>
      </c>
      <c r="I30" s="9">
        <v>210</v>
      </c>
      <c r="K30" s="9">
        <v>0</v>
      </c>
    </row>
    <row r="31" spans="1:11">
      <c r="A31" s="1" t="s">
        <v>66</v>
      </c>
      <c r="B31" s="1" t="s">
        <v>9</v>
      </c>
      <c r="C31" s="2" t="s">
        <v>67</v>
      </c>
      <c r="D31" s="2" t="s">
        <v>21</v>
      </c>
      <c r="E31" s="2" t="s">
        <v>81</v>
      </c>
      <c r="F31" s="2" t="s">
        <v>82</v>
      </c>
      <c r="G31" s="1" t="s">
        <v>13</v>
      </c>
      <c r="H31" s="1" t="s">
        <v>14</v>
      </c>
      <c r="I31">
        <v>210</v>
      </c>
      <c r="K31">
        <v>210</v>
      </c>
    </row>
    <row r="32" spans="1:11">
      <c r="A32" s="1" t="s">
        <v>66</v>
      </c>
      <c r="B32" s="1" t="s">
        <v>9</v>
      </c>
      <c r="C32" s="2" t="s">
        <v>67</v>
      </c>
      <c r="D32" s="2" t="s">
        <v>21</v>
      </c>
      <c r="E32" s="2" t="s">
        <v>83</v>
      </c>
      <c r="F32" s="2" t="s">
        <v>84</v>
      </c>
      <c r="G32" s="1" t="s">
        <v>13</v>
      </c>
      <c r="H32" s="1" t="s">
        <v>14</v>
      </c>
      <c r="I32">
        <v>210</v>
      </c>
      <c r="K32">
        <v>210</v>
      </c>
    </row>
    <row r="33" spans="1:11">
      <c r="A33" s="1" t="s">
        <v>66</v>
      </c>
      <c r="B33" s="1" t="s">
        <v>9</v>
      </c>
      <c r="C33" s="2" t="s">
        <v>67</v>
      </c>
      <c r="D33" s="2" t="s">
        <v>11</v>
      </c>
      <c r="E33" s="2" t="s">
        <v>85</v>
      </c>
      <c r="F33" s="2" t="s">
        <v>86</v>
      </c>
      <c r="G33" s="1" t="s">
        <v>13</v>
      </c>
      <c r="H33" s="1" t="s">
        <v>14</v>
      </c>
      <c r="I33">
        <v>210</v>
      </c>
      <c r="K33">
        <v>210</v>
      </c>
    </row>
    <row r="34" spans="1:11">
      <c r="A34" s="1" t="s">
        <v>66</v>
      </c>
      <c r="B34" s="1" t="s">
        <v>9</v>
      </c>
      <c r="C34" s="2" t="s">
        <v>67</v>
      </c>
      <c r="D34" s="2" t="s">
        <v>11</v>
      </c>
      <c r="E34" s="2" t="s">
        <v>87</v>
      </c>
      <c r="F34" s="2" t="s">
        <v>88</v>
      </c>
      <c r="G34" s="1" t="s">
        <v>13</v>
      </c>
      <c r="H34" s="1" t="s">
        <v>89</v>
      </c>
      <c r="I34">
        <v>210</v>
      </c>
      <c r="K34">
        <v>210</v>
      </c>
    </row>
    <row r="35" spans="1:11" s="9" customFormat="1">
      <c r="A35" s="7" t="s">
        <v>66</v>
      </c>
      <c r="B35" s="7" t="s">
        <v>9</v>
      </c>
      <c r="C35" s="8" t="s">
        <v>67</v>
      </c>
      <c r="D35" s="8" t="s">
        <v>16</v>
      </c>
      <c r="E35" s="8" t="s">
        <v>90</v>
      </c>
      <c r="F35" s="8" t="s">
        <v>91</v>
      </c>
      <c r="G35" s="7" t="s">
        <v>13</v>
      </c>
      <c r="H35" s="7" t="s">
        <v>14</v>
      </c>
      <c r="I35" s="9">
        <v>210</v>
      </c>
      <c r="K35" s="9">
        <v>0</v>
      </c>
    </row>
    <row r="36" spans="1:11">
      <c r="A36" s="1" t="s">
        <v>66</v>
      </c>
      <c r="B36" s="1" t="s">
        <v>9</v>
      </c>
      <c r="C36" s="2" t="s">
        <v>67</v>
      </c>
      <c r="D36" s="2" t="s">
        <v>21</v>
      </c>
      <c r="E36" s="2" t="s">
        <v>92</v>
      </c>
      <c r="F36" s="2" t="s">
        <v>93</v>
      </c>
      <c r="G36" s="1" t="s">
        <v>13</v>
      </c>
      <c r="H36" s="1" t="s">
        <v>14</v>
      </c>
      <c r="I36">
        <v>210</v>
      </c>
      <c r="K36">
        <v>210</v>
      </c>
    </row>
    <row r="37" spans="1:11">
      <c r="A37" s="1" t="s">
        <v>66</v>
      </c>
      <c r="B37" s="1" t="s">
        <v>9</v>
      </c>
      <c r="C37" s="2" t="s">
        <v>67</v>
      </c>
      <c r="D37" s="2" t="s">
        <v>21</v>
      </c>
      <c r="E37" s="2" t="s">
        <v>94</v>
      </c>
      <c r="F37" s="2" t="s">
        <v>95</v>
      </c>
      <c r="G37" s="1" t="s">
        <v>13</v>
      </c>
      <c r="H37" s="1" t="s">
        <v>14</v>
      </c>
      <c r="I37">
        <v>210</v>
      </c>
      <c r="K37">
        <v>210</v>
      </c>
    </row>
    <row r="38" spans="1:11">
      <c r="A38" s="1" t="s">
        <v>66</v>
      </c>
      <c r="B38" s="1" t="s">
        <v>9</v>
      </c>
      <c r="C38" s="2" t="s">
        <v>67</v>
      </c>
      <c r="D38" s="2"/>
      <c r="E38" s="2" t="s">
        <v>96</v>
      </c>
      <c r="F38" s="2" t="s">
        <v>97</v>
      </c>
      <c r="G38" s="1" t="s">
        <v>13</v>
      </c>
      <c r="H38" s="1" t="s">
        <v>14</v>
      </c>
      <c r="I38">
        <v>210</v>
      </c>
      <c r="K38">
        <v>210</v>
      </c>
    </row>
    <row r="39" spans="1:11">
      <c r="A39" s="1" t="s">
        <v>66</v>
      </c>
      <c r="B39" s="1" t="s">
        <v>9</v>
      </c>
      <c r="C39" s="2" t="s">
        <v>67</v>
      </c>
      <c r="D39" s="2" t="s">
        <v>11</v>
      </c>
      <c r="E39" s="2" t="s">
        <v>98</v>
      </c>
      <c r="F39" s="2" t="s">
        <v>99</v>
      </c>
      <c r="G39" s="1" t="s">
        <v>13</v>
      </c>
      <c r="H39" s="1" t="s">
        <v>14</v>
      </c>
      <c r="I39">
        <v>210</v>
      </c>
      <c r="K39">
        <v>210</v>
      </c>
    </row>
    <row r="40" spans="1:11">
      <c r="A40" s="1" t="s">
        <v>66</v>
      </c>
      <c r="B40" s="1" t="s">
        <v>9</v>
      </c>
      <c r="C40" s="2" t="s">
        <v>67</v>
      </c>
      <c r="D40" s="2" t="s">
        <v>11</v>
      </c>
      <c r="E40" s="2" t="s">
        <v>100</v>
      </c>
      <c r="F40" s="2" t="s">
        <v>101</v>
      </c>
      <c r="G40" s="1" t="s">
        <v>13</v>
      </c>
      <c r="H40" s="1" t="s">
        <v>14</v>
      </c>
      <c r="I40">
        <v>210</v>
      </c>
      <c r="K40">
        <v>210</v>
      </c>
    </row>
    <row r="41" spans="1:11">
      <c r="A41" s="1" t="s">
        <v>66</v>
      </c>
      <c r="B41" s="1" t="s">
        <v>9</v>
      </c>
      <c r="C41" s="2" t="s">
        <v>67</v>
      </c>
      <c r="D41" s="2" t="s">
        <v>102</v>
      </c>
      <c r="E41" s="2" t="s">
        <v>103</v>
      </c>
      <c r="F41" s="2" t="s">
        <v>104</v>
      </c>
      <c r="G41" s="1" t="s">
        <v>13</v>
      </c>
      <c r="H41" s="1" t="s">
        <v>14</v>
      </c>
      <c r="I41">
        <v>210</v>
      </c>
      <c r="K41">
        <v>210</v>
      </c>
    </row>
    <row r="42" spans="1:11">
      <c r="A42" s="1" t="s">
        <v>66</v>
      </c>
      <c r="B42" s="1" t="s">
        <v>9</v>
      </c>
      <c r="C42" s="2" t="s">
        <v>67</v>
      </c>
      <c r="D42" s="2" t="s">
        <v>21</v>
      </c>
      <c r="E42" s="2" t="s">
        <v>105</v>
      </c>
      <c r="F42" s="2" t="s">
        <v>106</v>
      </c>
      <c r="G42" s="1" t="s">
        <v>13</v>
      </c>
      <c r="H42" s="1" t="s">
        <v>14</v>
      </c>
      <c r="I42">
        <v>210</v>
      </c>
      <c r="K42">
        <v>210</v>
      </c>
    </row>
    <row r="43" spans="1:11" s="9" customFormat="1">
      <c r="A43" s="7" t="s">
        <v>66</v>
      </c>
      <c r="B43" s="7" t="s">
        <v>9</v>
      </c>
      <c r="C43" s="8" t="s">
        <v>67</v>
      </c>
      <c r="D43" s="8" t="s">
        <v>16</v>
      </c>
      <c r="E43" s="8" t="s">
        <v>107</v>
      </c>
      <c r="F43" s="8" t="s">
        <v>108</v>
      </c>
      <c r="G43" s="7" t="s">
        <v>13</v>
      </c>
      <c r="H43" s="7" t="s">
        <v>14</v>
      </c>
      <c r="I43" s="9">
        <v>210</v>
      </c>
      <c r="K43" s="9">
        <v>0</v>
      </c>
    </row>
    <row r="44" spans="1:11">
      <c r="A44" s="1" t="s">
        <v>66</v>
      </c>
      <c r="B44" s="1" t="s">
        <v>9</v>
      </c>
      <c r="C44" s="2" t="s">
        <v>67</v>
      </c>
      <c r="D44" s="2" t="s">
        <v>37</v>
      </c>
      <c r="E44" s="2" t="s">
        <v>109</v>
      </c>
      <c r="F44" s="2" t="s">
        <v>110</v>
      </c>
      <c r="G44" s="1" t="s">
        <v>13</v>
      </c>
      <c r="H44" s="1" t="s">
        <v>14</v>
      </c>
      <c r="I44">
        <v>210</v>
      </c>
      <c r="K44">
        <v>210</v>
      </c>
    </row>
    <row r="45" spans="1:11">
      <c r="A45" s="1" t="s">
        <v>66</v>
      </c>
      <c r="B45" s="1" t="s">
        <v>9</v>
      </c>
      <c r="C45" s="2" t="s">
        <v>67</v>
      </c>
      <c r="D45" s="2" t="s">
        <v>21</v>
      </c>
      <c r="E45" s="2" t="s">
        <v>111</v>
      </c>
      <c r="F45" s="2" t="s">
        <v>112</v>
      </c>
      <c r="G45" s="1" t="s">
        <v>13</v>
      </c>
      <c r="H45" s="1" t="s">
        <v>14</v>
      </c>
      <c r="I45">
        <v>210</v>
      </c>
      <c r="K45">
        <v>210</v>
      </c>
    </row>
    <row r="46" spans="1:11">
      <c r="A46" s="1" t="s">
        <v>66</v>
      </c>
      <c r="B46" s="1" t="s">
        <v>9</v>
      </c>
      <c r="C46" s="2" t="s">
        <v>67</v>
      </c>
      <c r="D46" s="2" t="s">
        <v>11</v>
      </c>
      <c r="E46" s="2" t="s">
        <v>201</v>
      </c>
      <c r="F46" s="2" t="s">
        <v>113</v>
      </c>
      <c r="G46" s="1" t="s">
        <v>13</v>
      </c>
      <c r="H46" s="1" t="s">
        <v>14</v>
      </c>
      <c r="I46">
        <v>210</v>
      </c>
      <c r="K46">
        <v>210</v>
      </c>
    </row>
    <row r="47" spans="1:11">
      <c r="A47" s="1" t="s">
        <v>66</v>
      </c>
      <c r="B47" s="1" t="s">
        <v>9</v>
      </c>
      <c r="C47" s="2" t="s">
        <v>67</v>
      </c>
      <c r="D47" s="2" t="s">
        <v>11</v>
      </c>
      <c r="E47" s="2" t="s">
        <v>114</v>
      </c>
      <c r="F47" s="2" t="s">
        <v>115</v>
      </c>
      <c r="G47" s="1" t="s">
        <v>13</v>
      </c>
      <c r="H47" s="1" t="s">
        <v>14</v>
      </c>
      <c r="I47">
        <v>210</v>
      </c>
      <c r="K47">
        <v>210</v>
      </c>
    </row>
    <row r="48" spans="1:11">
      <c r="A48" s="1" t="s">
        <v>66</v>
      </c>
      <c r="B48" s="1" t="s">
        <v>9</v>
      </c>
      <c r="C48" s="2" t="s">
        <v>67</v>
      </c>
      <c r="D48" s="2" t="s">
        <v>21</v>
      </c>
      <c r="E48" s="2" t="s">
        <v>116</v>
      </c>
      <c r="F48" s="2" t="s">
        <v>117</v>
      </c>
      <c r="G48" s="1" t="s">
        <v>13</v>
      </c>
      <c r="H48" s="1" t="s">
        <v>14</v>
      </c>
      <c r="I48">
        <v>210</v>
      </c>
      <c r="K48">
        <v>210</v>
      </c>
    </row>
    <row r="49" spans="1:11">
      <c r="A49" s="1" t="s">
        <v>66</v>
      </c>
      <c r="B49" s="1" t="s">
        <v>9</v>
      </c>
      <c r="C49" s="2" t="s">
        <v>67</v>
      </c>
      <c r="D49" s="2" t="s">
        <v>11</v>
      </c>
      <c r="E49" s="2" t="s">
        <v>118</v>
      </c>
      <c r="F49" s="2" t="s">
        <v>119</v>
      </c>
      <c r="G49" s="1" t="s">
        <v>13</v>
      </c>
      <c r="H49" s="1" t="s">
        <v>14</v>
      </c>
      <c r="I49">
        <v>210</v>
      </c>
      <c r="K49">
        <v>210</v>
      </c>
    </row>
    <row r="50" spans="1:11">
      <c r="A50" s="1" t="s">
        <v>66</v>
      </c>
      <c r="B50" s="1" t="s">
        <v>9</v>
      </c>
      <c r="C50" s="2" t="s">
        <v>67</v>
      </c>
      <c r="D50" s="2" t="s">
        <v>120</v>
      </c>
      <c r="E50" s="2" t="s">
        <v>121</v>
      </c>
      <c r="F50" s="2" t="s">
        <v>122</v>
      </c>
      <c r="G50" s="1" t="s">
        <v>13</v>
      </c>
      <c r="H50" s="1" t="s">
        <v>14</v>
      </c>
      <c r="I50">
        <v>210</v>
      </c>
      <c r="K50">
        <v>210</v>
      </c>
    </row>
    <row r="51" spans="1:11">
      <c r="A51" s="1" t="s">
        <v>66</v>
      </c>
      <c r="B51" s="1" t="s">
        <v>9</v>
      </c>
      <c r="C51" s="2" t="s">
        <v>67</v>
      </c>
      <c r="D51" s="2" t="s">
        <v>21</v>
      </c>
      <c r="E51" s="2" t="s">
        <v>123</v>
      </c>
      <c r="F51" s="2" t="s">
        <v>124</v>
      </c>
      <c r="G51" s="1" t="s">
        <v>13</v>
      </c>
      <c r="H51" s="1" t="s">
        <v>125</v>
      </c>
      <c r="I51">
        <v>210</v>
      </c>
      <c r="K51">
        <v>210</v>
      </c>
    </row>
    <row r="52" spans="1:11">
      <c r="A52" s="1" t="s">
        <v>66</v>
      </c>
      <c r="B52" s="1" t="s">
        <v>9</v>
      </c>
      <c r="C52" s="2" t="s">
        <v>67</v>
      </c>
      <c r="D52" s="2" t="s">
        <v>11</v>
      </c>
      <c r="E52" s="2" t="s">
        <v>126</v>
      </c>
      <c r="F52" s="2" t="s">
        <v>127</v>
      </c>
      <c r="G52" s="1" t="s">
        <v>13</v>
      </c>
      <c r="H52" s="1" t="s">
        <v>14</v>
      </c>
      <c r="I52">
        <v>210</v>
      </c>
      <c r="K52">
        <v>210</v>
      </c>
    </row>
    <row r="53" spans="1:11">
      <c r="A53" s="1" t="s">
        <v>66</v>
      </c>
      <c r="B53" s="1" t="s">
        <v>9</v>
      </c>
      <c r="C53" s="2" t="s">
        <v>67</v>
      </c>
      <c r="D53" s="2" t="s">
        <v>16</v>
      </c>
      <c r="E53" s="2" t="s">
        <v>128</v>
      </c>
      <c r="F53" s="2" t="s">
        <v>129</v>
      </c>
      <c r="G53" s="1" t="s">
        <v>13</v>
      </c>
      <c r="H53" s="1" t="s">
        <v>14</v>
      </c>
      <c r="I53">
        <v>210</v>
      </c>
      <c r="K53">
        <v>210</v>
      </c>
    </row>
    <row r="54" spans="1:11">
      <c r="A54" s="1" t="s">
        <v>66</v>
      </c>
      <c r="B54" s="1" t="s">
        <v>9</v>
      </c>
      <c r="C54" s="2" t="s">
        <v>67</v>
      </c>
      <c r="D54" s="2" t="s">
        <v>21</v>
      </c>
      <c r="E54" s="2" t="s">
        <v>130</v>
      </c>
      <c r="F54" s="2" t="s">
        <v>131</v>
      </c>
      <c r="G54" s="1" t="s">
        <v>13</v>
      </c>
      <c r="H54" s="1" t="s">
        <v>14</v>
      </c>
      <c r="I54">
        <v>210</v>
      </c>
      <c r="K54">
        <v>210</v>
      </c>
    </row>
    <row r="55" spans="1:11">
      <c r="A55" s="1" t="s">
        <v>66</v>
      </c>
      <c r="B55" s="1" t="s">
        <v>9</v>
      </c>
      <c r="C55" s="2" t="s">
        <v>67</v>
      </c>
      <c r="D55" s="2" t="s">
        <v>21</v>
      </c>
      <c r="E55" s="2" t="s">
        <v>132</v>
      </c>
      <c r="F55" s="2" t="s">
        <v>133</v>
      </c>
      <c r="G55" s="1" t="s">
        <v>13</v>
      </c>
      <c r="H55" s="1" t="s">
        <v>14</v>
      </c>
      <c r="I55">
        <v>210</v>
      </c>
      <c r="K55">
        <v>210</v>
      </c>
    </row>
    <row r="56" spans="1:11">
      <c r="A56" s="1" t="s">
        <v>66</v>
      </c>
      <c r="B56" s="1" t="s">
        <v>9</v>
      </c>
      <c r="C56" s="2" t="s">
        <v>67</v>
      </c>
      <c r="D56" s="2" t="s">
        <v>21</v>
      </c>
      <c r="E56" s="2" t="s">
        <v>134</v>
      </c>
      <c r="F56" s="2" t="s">
        <v>135</v>
      </c>
      <c r="G56" s="1" t="s">
        <v>13</v>
      </c>
      <c r="H56" s="1" t="s">
        <v>14</v>
      </c>
      <c r="I56">
        <v>210</v>
      </c>
      <c r="K56">
        <v>210</v>
      </c>
    </row>
    <row r="57" spans="1:11">
      <c r="A57" s="1" t="s">
        <v>66</v>
      </c>
      <c r="B57" s="1" t="s">
        <v>9</v>
      </c>
      <c r="C57" s="2" t="s">
        <v>67</v>
      </c>
      <c r="D57" s="2" t="s">
        <v>11</v>
      </c>
      <c r="E57" s="2" t="s">
        <v>136</v>
      </c>
      <c r="F57" s="2" t="s">
        <v>137</v>
      </c>
      <c r="G57" s="1" t="s">
        <v>13</v>
      </c>
      <c r="H57" s="1" t="s">
        <v>14</v>
      </c>
      <c r="I57">
        <v>210</v>
      </c>
      <c r="K57">
        <v>210</v>
      </c>
    </row>
    <row r="58" spans="1:11">
      <c r="A58" s="1" t="s">
        <v>66</v>
      </c>
      <c r="B58" s="1" t="s">
        <v>9</v>
      </c>
      <c r="C58" s="2" t="s">
        <v>67</v>
      </c>
      <c r="D58" s="2" t="s">
        <v>11</v>
      </c>
      <c r="E58" s="2" t="s">
        <v>138</v>
      </c>
      <c r="F58" s="2" t="s">
        <v>139</v>
      </c>
      <c r="G58" s="1" t="s">
        <v>13</v>
      </c>
      <c r="H58" s="1" t="s">
        <v>14</v>
      </c>
      <c r="I58">
        <v>210</v>
      </c>
      <c r="K58">
        <v>210</v>
      </c>
    </row>
    <row r="59" spans="1:11">
      <c r="A59" s="1" t="s">
        <v>66</v>
      </c>
      <c r="B59" s="1" t="s">
        <v>9</v>
      </c>
      <c r="C59" s="2" t="s">
        <v>67</v>
      </c>
      <c r="D59" s="2" t="s">
        <v>102</v>
      </c>
      <c r="E59" s="2" t="s">
        <v>140</v>
      </c>
      <c r="F59" s="2" t="s">
        <v>141</v>
      </c>
      <c r="G59" s="1" t="s">
        <v>13</v>
      </c>
      <c r="H59" s="1" t="s">
        <v>14</v>
      </c>
      <c r="I59">
        <v>210</v>
      </c>
      <c r="K59">
        <v>210</v>
      </c>
    </row>
    <row r="60" spans="1:11">
      <c r="A60" s="1" t="s">
        <v>66</v>
      </c>
      <c r="B60" s="1" t="s">
        <v>9</v>
      </c>
      <c r="C60" s="2" t="s">
        <v>67</v>
      </c>
      <c r="D60" s="2" t="s">
        <v>21</v>
      </c>
      <c r="E60" s="2" t="s">
        <v>142</v>
      </c>
      <c r="F60" s="2" t="s">
        <v>143</v>
      </c>
      <c r="G60" s="1" t="s">
        <v>13</v>
      </c>
      <c r="H60" s="1" t="s">
        <v>14</v>
      </c>
      <c r="I60">
        <v>210</v>
      </c>
      <c r="K60">
        <v>210</v>
      </c>
    </row>
    <row r="61" spans="1:11">
      <c r="A61" s="1" t="s">
        <v>66</v>
      </c>
      <c r="B61" s="1" t="s">
        <v>9</v>
      </c>
      <c r="C61" s="2" t="s">
        <v>67</v>
      </c>
      <c r="D61" s="2" t="s">
        <v>21</v>
      </c>
      <c r="E61" s="2" t="s">
        <v>144</v>
      </c>
      <c r="F61" s="2" t="s">
        <v>145</v>
      </c>
      <c r="G61" s="1" t="s">
        <v>13</v>
      </c>
      <c r="H61" s="1" t="s">
        <v>14</v>
      </c>
      <c r="I61">
        <v>210</v>
      </c>
      <c r="K61">
        <v>210</v>
      </c>
    </row>
    <row r="62" spans="1:11" s="9" customFormat="1">
      <c r="A62" s="7" t="s">
        <v>66</v>
      </c>
      <c r="B62" s="7" t="s">
        <v>9</v>
      </c>
      <c r="C62" s="8" t="s">
        <v>67</v>
      </c>
      <c r="D62" s="8" t="s">
        <v>16</v>
      </c>
      <c r="E62" s="8" t="s">
        <v>146</v>
      </c>
      <c r="F62" s="8" t="s">
        <v>147</v>
      </c>
      <c r="G62" s="7" t="s">
        <v>13</v>
      </c>
      <c r="H62" s="7" t="s">
        <v>14</v>
      </c>
      <c r="I62" s="9">
        <v>210</v>
      </c>
      <c r="K62" s="9">
        <v>0</v>
      </c>
    </row>
    <row r="63" spans="1:11">
      <c r="A63" s="1" t="s">
        <v>66</v>
      </c>
      <c r="B63" s="1" t="s">
        <v>9</v>
      </c>
      <c r="C63" s="2" t="s">
        <v>67</v>
      </c>
      <c r="D63" s="2"/>
      <c r="E63" s="2" t="s">
        <v>148</v>
      </c>
      <c r="F63" s="2" t="s">
        <v>149</v>
      </c>
      <c r="G63" s="1" t="s">
        <v>13</v>
      </c>
      <c r="H63" s="1" t="s">
        <v>150</v>
      </c>
      <c r="I63">
        <v>210</v>
      </c>
      <c r="K63">
        <v>210</v>
      </c>
    </row>
    <row r="64" spans="1:11">
      <c r="A64" s="1" t="s">
        <v>66</v>
      </c>
      <c r="B64" s="1" t="s">
        <v>9</v>
      </c>
      <c r="C64" s="2" t="s">
        <v>67</v>
      </c>
      <c r="D64" s="2" t="s">
        <v>151</v>
      </c>
      <c r="E64" s="2" t="s">
        <v>152</v>
      </c>
      <c r="F64" s="2" t="s">
        <v>153</v>
      </c>
      <c r="G64" s="1" t="s">
        <v>13</v>
      </c>
      <c r="H64" s="1" t="s">
        <v>154</v>
      </c>
      <c r="I64">
        <v>210</v>
      </c>
      <c r="K64">
        <v>210</v>
      </c>
    </row>
    <row r="65" spans="1:11">
      <c r="A65" s="1" t="s">
        <v>155</v>
      </c>
      <c r="B65" s="1" t="s">
        <v>9</v>
      </c>
      <c r="C65" s="2" t="s">
        <v>156</v>
      </c>
      <c r="D65" s="2" t="s">
        <v>21</v>
      </c>
      <c r="E65" s="2" t="s">
        <v>157</v>
      </c>
      <c r="F65" s="2"/>
      <c r="G65" s="1" t="s">
        <v>13</v>
      </c>
      <c r="H65" s="1" t="s">
        <v>14</v>
      </c>
      <c r="I65">
        <v>19200</v>
      </c>
      <c r="J65">
        <f>I65/12</f>
        <v>1600</v>
      </c>
      <c r="K65">
        <v>19200</v>
      </c>
    </row>
    <row r="66" spans="1:11">
      <c r="A66" s="1" t="s">
        <v>158</v>
      </c>
      <c r="B66" s="1" t="s">
        <v>9</v>
      </c>
      <c r="C66" s="2" t="s">
        <v>159</v>
      </c>
      <c r="D66" s="2" t="s">
        <v>11</v>
      </c>
      <c r="E66" s="2" t="s">
        <v>160</v>
      </c>
      <c r="F66" s="2"/>
      <c r="G66" s="1" t="s">
        <v>13</v>
      </c>
      <c r="H66" s="1" t="s">
        <v>14</v>
      </c>
      <c r="I66">
        <v>1120</v>
      </c>
      <c r="K66">
        <v>1120</v>
      </c>
    </row>
    <row r="67" spans="1:11">
      <c r="A67" s="1" t="s">
        <v>158</v>
      </c>
      <c r="B67" s="1" t="s">
        <v>9</v>
      </c>
      <c r="C67" s="2" t="s">
        <v>161</v>
      </c>
      <c r="D67" s="2"/>
      <c r="E67" s="2" t="s">
        <v>162</v>
      </c>
      <c r="F67" s="2"/>
      <c r="G67" s="1" t="s">
        <v>13</v>
      </c>
      <c r="H67" s="1" t="s">
        <v>14</v>
      </c>
      <c r="I67">
        <v>56</v>
      </c>
      <c r="K67">
        <v>56</v>
      </c>
    </row>
    <row r="68" spans="1:11" s="9" customFormat="1">
      <c r="A68" s="7" t="s">
        <v>158</v>
      </c>
      <c r="B68" s="7" t="s">
        <v>9</v>
      </c>
      <c r="C68" s="8" t="s">
        <v>163</v>
      </c>
      <c r="D68" s="8"/>
      <c r="E68" s="8" t="s">
        <v>164</v>
      </c>
      <c r="F68" s="8"/>
      <c r="G68" s="7" t="s">
        <v>13</v>
      </c>
      <c r="H68" s="7" t="s">
        <v>14</v>
      </c>
      <c r="I68" s="9">
        <v>1400</v>
      </c>
      <c r="K68" s="9">
        <v>0</v>
      </c>
    </row>
    <row r="69" spans="1:11">
      <c r="A69" s="1" t="s">
        <v>158</v>
      </c>
      <c r="B69" s="1" t="s">
        <v>9</v>
      </c>
      <c r="C69" s="2" t="s">
        <v>165</v>
      </c>
      <c r="D69" s="2"/>
      <c r="E69" s="2" t="s">
        <v>166</v>
      </c>
      <c r="F69" s="2"/>
      <c r="G69" s="1" t="s">
        <v>13</v>
      </c>
      <c r="H69" s="1" t="s">
        <v>14</v>
      </c>
      <c r="I69">
        <v>28</v>
      </c>
      <c r="K69">
        <v>28</v>
      </c>
    </row>
    <row r="70" spans="1:11" s="9" customFormat="1">
      <c r="A70" s="7" t="s">
        <v>158</v>
      </c>
      <c r="B70" s="7" t="s">
        <v>9</v>
      </c>
      <c r="C70" s="8" t="s">
        <v>167</v>
      </c>
      <c r="D70" s="8"/>
      <c r="E70" s="8" t="s">
        <v>168</v>
      </c>
      <c r="F70" s="8"/>
      <c r="G70" s="7" t="s">
        <v>13</v>
      </c>
      <c r="H70" s="7" t="s">
        <v>14</v>
      </c>
      <c r="I70" s="9">
        <v>1400</v>
      </c>
      <c r="K70" s="9">
        <v>0</v>
      </c>
    </row>
    <row r="71" spans="1:11">
      <c r="A71" s="1" t="s">
        <v>158</v>
      </c>
      <c r="B71" s="1" t="s">
        <v>9</v>
      </c>
      <c r="C71" s="2" t="s">
        <v>169</v>
      </c>
      <c r="D71" s="2"/>
      <c r="E71" s="2" t="s">
        <v>170</v>
      </c>
      <c r="F71" s="2"/>
      <c r="G71" s="1" t="s">
        <v>13</v>
      </c>
      <c r="H71" s="1" t="s">
        <v>14</v>
      </c>
      <c r="I71">
        <v>56</v>
      </c>
      <c r="K71">
        <v>56</v>
      </c>
    </row>
    <row r="72" spans="1:11">
      <c r="A72" s="1" t="s">
        <v>158</v>
      </c>
      <c r="B72" s="1" t="s">
        <v>9</v>
      </c>
      <c r="C72" s="2" t="s">
        <v>171</v>
      </c>
      <c r="D72" s="2"/>
      <c r="E72" s="2" t="s">
        <v>172</v>
      </c>
      <c r="F72" s="2"/>
      <c r="G72" s="1" t="s">
        <v>13</v>
      </c>
      <c r="H72" s="1" t="s">
        <v>14</v>
      </c>
      <c r="I72">
        <v>3360</v>
      </c>
      <c r="K72">
        <v>3360</v>
      </c>
    </row>
    <row r="73" spans="1:11">
      <c r="A73" s="1" t="s">
        <v>158</v>
      </c>
      <c r="B73" s="1" t="s">
        <v>9</v>
      </c>
      <c r="C73" s="2" t="s">
        <v>173</v>
      </c>
      <c r="D73" s="2"/>
      <c r="E73" s="2" t="s">
        <v>174</v>
      </c>
      <c r="F73" s="2"/>
      <c r="G73" s="1" t="s">
        <v>13</v>
      </c>
      <c r="H73" s="1" t="s">
        <v>14</v>
      </c>
      <c r="I73">
        <v>56</v>
      </c>
      <c r="K73">
        <v>56</v>
      </c>
    </row>
    <row r="74" spans="1:11" s="9" customFormat="1">
      <c r="A74" s="7" t="s">
        <v>158</v>
      </c>
      <c r="B74" s="7" t="s">
        <v>9</v>
      </c>
      <c r="C74" s="8" t="s">
        <v>175</v>
      </c>
      <c r="D74" s="8"/>
      <c r="E74" s="8" t="s">
        <v>176</v>
      </c>
      <c r="F74" s="8"/>
      <c r="G74" s="7" t="s">
        <v>13</v>
      </c>
      <c r="H74" s="7" t="s">
        <v>14</v>
      </c>
      <c r="I74" s="9">
        <v>280</v>
      </c>
      <c r="K74" s="9">
        <v>0</v>
      </c>
    </row>
    <row r="75" spans="1:11">
      <c r="A75" s="1" t="s">
        <v>158</v>
      </c>
      <c r="B75" s="1" t="s">
        <v>9</v>
      </c>
      <c r="C75" s="2" t="s">
        <v>177</v>
      </c>
      <c r="D75" s="2"/>
      <c r="E75" s="2" t="s">
        <v>178</v>
      </c>
      <c r="F75" s="2"/>
      <c r="G75" s="1" t="s">
        <v>13</v>
      </c>
      <c r="H75" s="1" t="s">
        <v>14</v>
      </c>
      <c r="I75">
        <v>56</v>
      </c>
      <c r="K75">
        <v>56</v>
      </c>
    </row>
    <row r="76" spans="1:11">
      <c r="A76" s="3" t="s">
        <v>179</v>
      </c>
      <c r="B76" s="3" t="s">
        <v>9</v>
      </c>
      <c r="C76" s="3" t="s">
        <v>180</v>
      </c>
      <c r="D76" s="3" t="s">
        <v>11</v>
      </c>
      <c r="E76" s="3" t="s">
        <v>181</v>
      </c>
      <c r="F76" s="3"/>
      <c r="G76" s="1" t="s">
        <v>13</v>
      </c>
      <c r="H76" s="1" t="s">
        <v>14</v>
      </c>
      <c r="I76">
        <v>28</v>
      </c>
      <c r="K76">
        <v>28</v>
      </c>
    </row>
    <row r="77" spans="1:11">
      <c r="A77" s="3" t="s">
        <v>179</v>
      </c>
      <c r="B77" s="3" t="s">
        <v>9</v>
      </c>
      <c r="C77" s="3" t="s">
        <v>182</v>
      </c>
      <c r="D77" s="3"/>
      <c r="E77" s="3" t="s">
        <v>199</v>
      </c>
      <c r="F77" s="3"/>
      <c r="G77" s="1" t="s">
        <v>13</v>
      </c>
      <c r="H77" s="1" t="s">
        <v>14</v>
      </c>
      <c r="I77">
        <v>600</v>
      </c>
      <c r="K77">
        <v>600</v>
      </c>
    </row>
    <row r="78" spans="1:11" s="9" customFormat="1">
      <c r="A78" s="9" t="s">
        <v>179</v>
      </c>
      <c r="B78" s="9" t="s">
        <v>9</v>
      </c>
      <c r="C78" s="9" t="s">
        <v>183</v>
      </c>
      <c r="E78" s="9" t="s">
        <v>184</v>
      </c>
      <c r="G78" s="7" t="s">
        <v>13</v>
      </c>
      <c r="H78" s="7" t="s">
        <v>14</v>
      </c>
      <c r="I78" s="9">
        <v>1400</v>
      </c>
      <c r="K78" s="9">
        <v>0</v>
      </c>
    </row>
    <row r="79" spans="1:11">
      <c r="A79" s="3" t="s">
        <v>179</v>
      </c>
      <c r="B79" s="3" t="s">
        <v>9</v>
      </c>
      <c r="C79" s="3" t="s">
        <v>185</v>
      </c>
      <c r="D79" s="3" t="s">
        <v>11</v>
      </c>
      <c r="E79" s="3" t="s">
        <v>186</v>
      </c>
      <c r="F79" s="3"/>
      <c r="G79" s="1" t="s">
        <v>13</v>
      </c>
      <c r="H79" s="1" t="s">
        <v>14</v>
      </c>
      <c r="I79">
        <v>56</v>
      </c>
      <c r="K79">
        <v>56</v>
      </c>
    </row>
    <row r="80" spans="1:11">
      <c r="A80" s="3" t="s">
        <v>179</v>
      </c>
      <c r="B80" s="3" t="s">
        <v>9</v>
      </c>
      <c r="C80" s="3" t="s">
        <v>187</v>
      </c>
      <c r="D80" s="3" t="s">
        <v>11</v>
      </c>
      <c r="E80" s="3" t="s">
        <v>188</v>
      </c>
      <c r="F80" s="3"/>
      <c r="G80" s="1" t="s">
        <v>13</v>
      </c>
      <c r="H80" s="1" t="s">
        <v>14</v>
      </c>
      <c r="I80">
        <v>56</v>
      </c>
      <c r="K80">
        <v>56</v>
      </c>
    </row>
    <row r="81" spans="1:11">
      <c r="A81" s="3" t="s">
        <v>179</v>
      </c>
      <c r="B81" s="3" t="s">
        <v>9</v>
      </c>
      <c r="C81" s="3" t="s">
        <v>189</v>
      </c>
      <c r="D81" s="3" t="s">
        <v>11</v>
      </c>
      <c r="E81" s="3" t="s">
        <v>190</v>
      </c>
      <c r="F81" s="3"/>
      <c r="G81" s="1" t="s">
        <v>13</v>
      </c>
      <c r="H81" s="1" t="s">
        <v>14</v>
      </c>
      <c r="I81">
        <v>56</v>
      </c>
      <c r="K81">
        <v>56</v>
      </c>
    </row>
    <row r="82" spans="1:11" s="9" customFormat="1">
      <c r="A82" s="9" t="s">
        <v>191</v>
      </c>
      <c r="B82" s="9" t="s">
        <v>9</v>
      </c>
      <c r="C82" s="9" t="s">
        <v>192</v>
      </c>
      <c r="E82" s="9" t="s">
        <v>193</v>
      </c>
      <c r="G82" s="7" t="s">
        <v>13</v>
      </c>
      <c r="H82" s="7" t="s">
        <v>14</v>
      </c>
      <c r="I82" s="9">
        <v>120</v>
      </c>
      <c r="K82" s="9">
        <v>0</v>
      </c>
    </row>
    <row r="83" spans="1:11">
      <c r="A83" s="3" t="s">
        <v>191</v>
      </c>
      <c r="B83" s="3" t="s">
        <v>9</v>
      </c>
      <c r="C83" s="3" t="s">
        <v>194</v>
      </c>
      <c r="D83" s="3" t="s">
        <v>21</v>
      </c>
      <c r="E83" s="3" t="s">
        <v>195</v>
      </c>
      <c r="F83" s="3"/>
      <c r="G83" s="1" t="s">
        <v>13</v>
      </c>
      <c r="H83" s="1" t="s">
        <v>14</v>
      </c>
      <c r="I83">
        <v>1800</v>
      </c>
      <c r="K83">
        <v>1800</v>
      </c>
    </row>
    <row r="84" spans="1:11">
      <c r="I84">
        <f>SUM(I2:I83)</f>
        <v>149126</v>
      </c>
      <c r="K84">
        <f>SUM(K2:K83)</f>
        <v>129112</v>
      </c>
    </row>
  </sheetData>
  <autoFilter ref="A1:K8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云资源清单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2026-07-30T01:53:05Z</dcterms:created>
  <dcterms:modified xsi:type="dcterms:W3CDTF">2026-07-30T03:06:38Z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{"Label":"1","ContentProducer":"001191110102MACQD9K64010000","ProduceID":"7668130381677890508","ReservedCode1":"","ContentPropagator":"","PropagateID":"","ReservedCode2":""}</vt:lpwstr>
  </property>
</Properties>
</file>